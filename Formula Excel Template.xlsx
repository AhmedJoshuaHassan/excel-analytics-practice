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Users\Dell\Desktop\excel-analytics-practice\"/>
    </mc:Choice>
  </mc:AlternateContent>
  <xr:revisionPtr revIDLastSave="0" documentId="13_ncr:1_{83A09404-002E-48E3-9881-C60B05E4B594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Max-Min" sheetId="9" r:id="rId1"/>
    <sheet name="IF-IFS" sheetId="8" r:id="rId2"/>
    <sheet name="Len" sheetId="2" r:id="rId3"/>
    <sheet name="LeftRight" sheetId="4" r:id="rId4"/>
    <sheet name="DateToText" sheetId="3" r:id="rId5"/>
    <sheet name="TRIM" sheetId="6" r:id="rId6"/>
    <sheet name="Concatenate" sheetId="1" r:id="rId7"/>
    <sheet name="Substitute" sheetId="7" r:id="rId8"/>
    <sheet name="SUM-SumIF" sheetId="12" r:id="rId9"/>
    <sheet name="Count-CountIF" sheetId="5" r:id="rId10"/>
    <sheet name="Days-NetworkDays" sheetId="13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8" l="1" a="1"/>
  <c r="K3" i="8" s="1"/>
  <c r="K4" i="8" a="1"/>
  <c r="K4" i="8" s="1"/>
  <c r="K5" i="8" a="1"/>
  <c r="K5" i="8" s="1"/>
  <c r="K6" i="8" a="1"/>
  <c r="K6" i="8"/>
  <c r="K7" i="8" a="1"/>
  <c r="K7" i="8" s="1"/>
  <c r="K8" i="8" a="1"/>
  <c r="K8" i="8" s="1"/>
  <c r="K9" i="8" a="1"/>
  <c r="K9" i="8" s="1"/>
  <c r="K10" i="8" a="1"/>
  <c r="K10" i="8" s="1"/>
  <c r="K2" i="8" a="1"/>
  <c r="K2" i="8" s="1"/>
  <c r="K3" i="13"/>
  <c r="K4" i="13"/>
  <c r="K5" i="13"/>
  <c r="K6" i="13"/>
  <c r="K7" i="13"/>
  <c r="K8" i="13"/>
  <c r="K9" i="13"/>
  <c r="K10" i="13"/>
  <c r="K2" i="13"/>
  <c r="J3" i="13"/>
  <c r="J4" i="13"/>
  <c r="J5" i="13"/>
  <c r="J6" i="13"/>
  <c r="J7" i="13"/>
  <c r="J8" i="13"/>
  <c r="J9" i="13"/>
  <c r="J10" i="13"/>
  <c r="J2" i="13"/>
  <c r="L2" i="5"/>
  <c r="K2" i="5"/>
  <c r="J2" i="5"/>
  <c r="L2" i="12"/>
  <c r="K2" i="12"/>
  <c r="J2" i="12"/>
  <c r="K3" i="7"/>
  <c r="K4" i="7"/>
  <c r="K5" i="7"/>
  <c r="K6" i="7"/>
  <c r="K7" i="7"/>
  <c r="K8" i="7"/>
  <c r="K9" i="7"/>
  <c r="K10" i="7"/>
  <c r="K2" i="7"/>
  <c r="J3" i="7"/>
  <c r="J4" i="7"/>
  <c r="J5" i="7"/>
  <c r="J6" i="7"/>
  <c r="J7" i="7"/>
  <c r="J8" i="7"/>
  <c r="J9" i="7"/>
  <c r="J10" i="7"/>
  <c r="J2" i="7"/>
  <c r="M3" i="7"/>
  <c r="M4" i="7"/>
  <c r="M5" i="7"/>
  <c r="M6" i="7"/>
  <c r="M7" i="7"/>
  <c r="M8" i="7"/>
  <c r="M9" i="7"/>
  <c r="M10" i="7"/>
  <c r="M2" i="7"/>
  <c r="L3" i="7"/>
  <c r="L4" i="7"/>
  <c r="L5" i="7"/>
  <c r="L6" i="7"/>
  <c r="L7" i="7"/>
  <c r="L8" i="7"/>
  <c r="L9" i="7"/>
  <c r="L10" i="7"/>
  <c r="L2" i="7"/>
  <c r="K3" i="1"/>
  <c r="K4" i="1"/>
  <c r="K5" i="1"/>
  <c r="K6" i="1"/>
  <c r="K7" i="1"/>
  <c r="K8" i="1"/>
  <c r="K9" i="1"/>
  <c r="K10" i="1"/>
  <c r="K2" i="1"/>
  <c r="J3" i="1"/>
  <c r="J4" i="1"/>
  <c r="J5" i="1"/>
  <c r="J6" i="1"/>
  <c r="J7" i="1"/>
  <c r="J8" i="1"/>
  <c r="J9" i="1"/>
  <c r="J10" i="1"/>
  <c r="J11" i="1"/>
  <c r="J12" i="1"/>
  <c r="J2" i="1"/>
  <c r="J3" i="6"/>
  <c r="J4" i="6"/>
  <c r="J5" i="6"/>
  <c r="J6" i="6"/>
  <c r="J7" i="6"/>
  <c r="J8" i="6"/>
  <c r="J9" i="6"/>
  <c r="J10" i="6"/>
  <c r="J2" i="6"/>
  <c r="J3" i="3"/>
  <c r="K3" i="3" s="1"/>
  <c r="J4" i="3"/>
  <c r="K4" i="3" s="1"/>
  <c r="J5" i="3"/>
  <c r="K5" i="3" s="1"/>
  <c r="J6" i="3"/>
  <c r="K6" i="3" s="1"/>
  <c r="J7" i="3"/>
  <c r="K7" i="3" s="1"/>
  <c r="J8" i="3"/>
  <c r="K8" i="3" s="1"/>
  <c r="J9" i="3"/>
  <c r="K9" i="3" s="1"/>
  <c r="J10" i="3"/>
  <c r="K10" i="3" s="1"/>
  <c r="J2" i="3"/>
  <c r="K2" i="3" s="1"/>
  <c r="M3" i="4"/>
  <c r="M4" i="4"/>
  <c r="M5" i="4"/>
  <c r="M6" i="4"/>
  <c r="M7" i="4"/>
  <c r="M8" i="4"/>
  <c r="M9" i="4"/>
  <c r="M10" i="4"/>
  <c r="M2" i="4"/>
  <c r="L3" i="4"/>
  <c r="L4" i="4"/>
  <c r="L5" i="4"/>
  <c r="L6" i="4"/>
  <c r="L7" i="4"/>
  <c r="L8" i="4"/>
  <c r="L9" i="4"/>
  <c r="L10" i="4"/>
  <c r="L2" i="4"/>
  <c r="K3" i="4"/>
  <c r="K4" i="4"/>
  <c r="K5" i="4"/>
  <c r="K6" i="4"/>
  <c r="K7" i="4"/>
  <c r="K8" i="4"/>
  <c r="K9" i="4"/>
  <c r="K10" i="4"/>
  <c r="K2" i="4"/>
  <c r="J3" i="2"/>
  <c r="J4" i="2"/>
  <c r="J5" i="2"/>
  <c r="J6" i="2"/>
  <c r="J7" i="2"/>
  <c r="J8" i="2"/>
  <c r="J9" i="2"/>
  <c r="J10" i="2"/>
  <c r="J2" i="2"/>
  <c r="J3" i="8"/>
  <c r="J4" i="8"/>
  <c r="J5" i="8"/>
  <c r="J6" i="8"/>
  <c r="J7" i="8"/>
  <c r="J8" i="8"/>
  <c r="J9" i="8"/>
  <c r="J10" i="8"/>
  <c r="J2" i="8"/>
  <c r="C16" i="9"/>
  <c r="B16" i="9"/>
  <c r="C15" i="9"/>
  <c r="B15" i="9"/>
  <c r="H11" i="1" l="1"/>
  <c r="H1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<sst xmlns="http://schemas.openxmlformats.org/spreadsheetml/2006/main" count="590" uniqueCount="93">
  <si>
    <t>FirstName</t>
  </si>
  <si>
    <t>LastName</t>
  </si>
  <si>
    <t>Jim</t>
  </si>
  <si>
    <t>Halpert</t>
  </si>
  <si>
    <t>Pam</t>
  </si>
  <si>
    <t>Beasley</t>
  </si>
  <si>
    <t>Dwight</t>
  </si>
  <si>
    <t>Schrute</t>
  </si>
  <si>
    <t>Michael</t>
  </si>
  <si>
    <t>Scott</t>
  </si>
  <si>
    <t>Kevin</t>
  </si>
  <si>
    <t>Malone</t>
  </si>
  <si>
    <t>Martin</t>
  </si>
  <si>
    <t>Angela</t>
  </si>
  <si>
    <t>Toby</t>
  </si>
  <si>
    <t>Flenderson</t>
  </si>
  <si>
    <t>Stanley</t>
  </si>
  <si>
    <t>Hudson</t>
  </si>
  <si>
    <t>CONCATENATE(B2," ",C2)</t>
  </si>
  <si>
    <t>LEN(B2)</t>
  </si>
  <si>
    <t>EmployeeID</t>
  </si>
  <si>
    <t>JobTitle</t>
  </si>
  <si>
    <t>Salary</t>
  </si>
  <si>
    <t>Age</t>
  </si>
  <si>
    <t>Gender</t>
  </si>
  <si>
    <t>Salesman</t>
  </si>
  <si>
    <t>Male</t>
  </si>
  <si>
    <t>Receptionist</t>
  </si>
  <si>
    <t>Female</t>
  </si>
  <si>
    <t>Accountant</t>
  </si>
  <si>
    <t>HR</t>
  </si>
  <si>
    <t>Regional Manager</t>
  </si>
  <si>
    <t>Supplier Relations</t>
  </si>
  <si>
    <t>Meredith</t>
  </si>
  <si>
    <t>Palmer</t>
  </si>
  <si>
    <t>Can be used to see difference between 100s and thousands. Can find bad Social Security numbers if they're 10 digits instead of 9</t>
  </si>
  <si>
    <t>StartDate</t>
  </si>
  <si>
    <t>EndDate</t>
  </si>
  <si>
    <t>Email</t>
  </si>
  <si>
    <t>Jim.Halpert@DunderMifflin.com</t>
  </si>
  <si>
    <t>Pam.Beasley@DunderMifflin.com</t>
  </si>
  <si>
    <t>Dwight.Schrute@AOL.com</t>
  </si>
  <si>
    <t>Angela.Martin@DunderMifflin.com</t>
  </si>
  <si>
    <t>Toby.Flenderson@DunderMifflinCorporate.com</t>
  </si>
  <si>
    <t>Michael.Scott@DunderMifflin.com</t>
  </si>
  <si>
    <t>Meredith.Palmer@Yahoo.com</t>
  </si>
  <si>
    <t>Stanley.Hudson@gmail.com</t>
  </si>
  <si>
    <t>Kevin.Malone@DunderMifflin.com</t>
  </si>
  <si>
    <t>11/2/2001</t>
  </si>
  <si>
    <t>10/3/1999</t>
  </si>
  <si>
    <t>7/4/2000</t>
  </si>
  <si>
    <t>1/5/2000</t>
  </si>
  <si>
    <t>5/6/2001</t>
  </si>
  <si>
    <t>11/8/2003</t>
  </si>
  <si>
    <t>6/9/2002</t>
  </si>
  <si>
    <t>8/10/2003</t>
  </si>
  <si>
    <t>9/6/2015</t>
  </si>
  <si>
    <t>10/10/2015</t>
  </si>
  <si>
    <t>9/8/2017</t>
  </si>
  <si>
    <t>12/3/2015</t>
  </si>
  <si>
    <t>8/30/2017</t>
  </si>
  <si>
    <t>9/11/2013</t>
  </si>
  <si>
    <t>4/22/2015</t>
  </si>
  <si>
    <t xml:space="preserve">Malone </t>
  </si>
  <si>
    <t xml:space="preserve">  Hudson</t>
  </si>
  <si>
    <t xml:space="preserve">   Scott</t>
  </si>
  <si>
    <t xml:space="preserve">Flenderson    </t>
  </si>
  <si>
    <t xml:space="preserve"> Schrute</t>
  </si>
  <si>
    <t>TRIM(C2)</t>
  </si>
  <si>
    <t>It just removes unwanted spaces on both sides</t>
  </si>
  <si>
    <t>TEXT(H2,"dd/mm/yyyy")</t>
  </si>
  <si>
    <t>with 1 instance</t>
  </si>
  <si>
    <t>with 2 instances</t>
  </si>
  <si>
    <t>with NO instances</t>
  </si>
  <si>
    <t>COUNT</t>
  </si>
  <si>
    <t>COUNTIF</t>
  </si>
  <si>
    <t>COUNTIFS</t>
  </si>
  <si>
    <t>Max</t>
  </si>
  <si>
    <t>Min</t>
  </si>
  <si>
    <t>IF</t>
  </si>
  <si>
    <t>IFS</t>
  </si>
  <si>
    <t>DAYS</t>
  </si>
  <si>
    <t>NETWORKDAYS</t>
  </si>
  <si>
    <t>Left</t>
  </si>
  <si>
    <t>Right</t>
  </si>
  <si>
    <t>Max/Min formula</t>
  </si>
  <si>
    <t>phone numbers can be useful for len to determine appropriate phone number length</t>
  </si>
  <si>
    <t>very useful for extracting date if date format is in text</t>
  </si>
  <si>
    <t>Year</t>
  </si>
  <si>
    <t>gmail</t>
  </si>
  <si>
    <t>SUMIFS (salary, gender, age&gt;30)</t>
  </si>
  <si>
    <t>SUMIF (salary&gt;50000)</t>
  </si>
  <si>
    <t>SUM(salary)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</si>
</sst>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9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/>
  </sheetPr>
  <dimension ref="A1:K16"/>
  <sheetViews>
    <sheetView workbookViewId="0">
      <selection activeCell="A12" sqref="A12:I12"/>
    </sheetView>
  </sheetViews>
  <sheetFormatPr defaultColWidth="13.7109375" defaultRowHeight="15" x14ac:dyDescent="0.25"/>
  <cols>
    <col min="1" max="1" width="10.7109375" bestFit="1" customWidth="1"/>
    <col min="3" max="3" width="11" bestFit="1" customWidth="1"/>
    <col min="4" max="4" width="7.7109375" customWidth="1"/>
  </cols>
  <sheetData>
    <row r="1" spans="1:11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</row>
    <row r="2" spans="1:11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 s="1"/>
      <c r="K2" s="1"/>
    </row>
    <row r="3" spans="1:11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</row>
    <row r="4" spans="1:11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</row>
    <row r="5" spans="1:11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</row>
    <row r="6" spans="1:11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</row>
    <row r="7" spans="1:11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</row>
    <row r="8" spans="1:11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</row>
    <row r="9" spans="1:11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</row>
    <row r="10" spans="1:11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</row>
    <row r="12" spans="1:11" x14ac:dyDescent="0.25">
      <c r="A12" s="3" t="s">
        <v>85</v>
      </c>
      <c r="B12" s="3"/>
      <c r="C12" s="3"/>
      <c r="D12" s="3"/>
      <c r="E12" s="3"/>
      <c r="F12" s="3"/>
      <c r="G12" s="3"/>
      <c r="H12" s="3"/>
      <c r="I12" s="3"/>
    </row>
    <row r="14" spans="1:11" x14ac:dyDescent="0.25">
      <c r="B14" t="s">
        <v>77</v>
      </c>
      <c r="C14" t="s">
        <v>78</v>
      </c>
    </row>
    <row r="15" spans="1:11" x14ac:dyDescent="0.25">
      <c r="A15" t="s">
        <v>36</v>
      </c>
      <c r="B15" s="1">
        <f>MAX(H2:H10)</f>
        <v>37933</v>
      </c>
      <c r="C15" s="1">
        <f>MIN(H2:H10)</f>
        <v>35040</v>
      </c>
    </row>
    <row r="16" spans="1:11" x14ac:dyDescent="0.25">
      <c r="A16" t="s">
        <v>22</v>
      </c>
      <c r="B16">
        <f>MAX(G2:G10)</f>
        <v>65000</v>
      </c>
      <c r="C16">
        <f>MIN(G2:G10)</f>
        <v>36000</v>
      </c>
    </row>
  </sheetData>
  <mergeCells count="1">
    <mergeCell ref="A12:I12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/>
  </sheetPr>
  <dimension ref="A1:K10"/>
  <sheetViews>
    <sheetView tabSelected="1" workbookViewId="0">
      <selection activeCell="K3" sqref="K3"/>
    </sheetView>
  </sheetViews>
  <sheetFormatPr defaultColWidth="13.7109375" defaultRowHeight="15" x14ac:dyDescent="0.25"/>
  <cols>
    <col min="1" max="1" width="10.7109375" bestFit="1" customWidth="1"/>
    <col min="4" max="4" width="7.7109375" customWidth="1"/>
    <col min="6" max="6" width="17.42578125" bestFit="1" customWidth="1"/>
    <col min="10" max="10" width="9.28515625" customWidth="1"/>
    <col min="11" max="11" width="16" customWidth="1"/>
  </cols>
  <sheetData>
    <row r="1" spans="1:11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79</v>
      </c>
      <c r="K1" t="s">
        <v>80</v>
      </c>
    </row>
    <row r="2" spans="1:11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 t="str">
        <f>IF(D2:D10 &gt; 30, "Old", "Young")</f>
        <v>Young</v>
      </c>
      <c r="K2" t="str" cm="1">
        <f t="array" ref="K2">_xlfn.IFS(F2 = "Salesman", "Sales", F2= "Reception", "Fire from work", F2= "Accountant", "Give Bonus")</f>
        <v>Sales</v>
      </c>
    </row>
    <row r="3" spans="1:11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  <c r="J3" t="str">
        <f t="shared" ref="J3:J10" si="0">IF(D3:D11 &gt; 30, "Old", "Young")</f>
        <v>Young</v>
      </c>
      <c r="K3" t="e" cm="1">
        <f t="array" ref="K3">_xlfn.IFS(F3 = "Salesman", "Sales", F3= "Reception", "Fire from work", F3= "Accountant", "Give Bonus")</f>
        <v>#N/A</v>
      </c>
    </row>
    <row r="4" spans="1:11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  <c r="J4" t="str">
        <f t="shared" si="0"/>
        <v>Young</v>
      </c>
      <c r="K4" t="str" cm="1">
        <f t="array" ref="K4">_xlfn.IFS(F4 = "Salesman", "Sales", F4= "Reception", "Fire from work", F4= "Accountant", "Give Bonus")</f>
        <v>Sales</v>
      </c>
    </row>
    <row r="5" spans="1:11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  <c r="J5" t="str">
        <f t="shared" si="0"/>
        <v>Old</v>
      </c>
      <c r="K5" t="str" cm="1">
        <f t="array" ref="K5">_xlfn.IFS(F5 = "Salesman", "Sales", F5= "Reception", "Fire from work", F5= "Accountant", "Give Bonus")</f>
        <v>Give Bonus</v>
      </c>
    </row>
    <row r="6" spans="1:11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  <c r="J6" t="str">
        <f t="shared" si="0"/>
        <v>Old</v>
      </c>
      <c r="K6" t="e" cm="1">
        <f t="array" ref="K6">_xlfn.IFS(F6 = "Salesman", "Sales", F6= "Reception", "Fire from work", F6= "Accountant", "Give Bonus")</f>
        <v>#N/A</v>
      </c>
    </row>
    <row r="7" spans="1:11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  <c r="J7" t="str">
        <f t="shared" si="0"/>
        <v>Old</v>
      </c>
      <c r="K7" t="e" cm="1">
        <f t="array" ref="K7">_xlfn.IFS(F7 = "Salesman", "Sales", F7= "Reception", "Fire from work", F7= "Accountant", "Give Bonus")</f>
        <v>#N/A</v>
      </c>
    </row>
    <row r="8" spans="1:11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  <c r="J8" t="str">
        <f t="shared" si="0"/>
        <v>Old</v>
      </c>
      <c r="K8" t="e" cm="1">
        <f t="array" ref="K8">_xlfn.IFS(F8 = "Salesman", "Sales", F8= "Reception", "Fire from work", F8= "Accountant", "Give Bonus")</f>
        <v>#N/A</v>
      </c>
    </row>
    <row r="9" spans="1:11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  <c r="J9" t="str">
        <f t="shared" si="0"/>
        <v>Old</v>
      </c>
      <c r="K9" t="str" cm="1">
        <f t="array" ref="K9">_xlfn.IFS(F9 = "Salesman", "Sales", F9= "Reception", "Fire from work", F9= "Accountant", "Give Bonus")</f>
        <v>Sales</v>
      </c>
    </row>
    <row r="10" spans="1:11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  <c r="J10" t="str">
        <f t="shared" si="0"/>
        <v>Old</v>
      </c>
      <c r="K10" t="str" cm="1">
        <f t="array" ref="K10">_xlfn.IFS(F10 = "Salesman", "Sales", F10= "Reception", "Fire from work", F10= "Accountant", "Give Bonus")</f>
        <v>Give Bonus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/>
  </sheetPr>
  <dimension ref="A1:L10"/>
  <sheetViews>
    <sheetView workbookViewId="0">
      <selection activeCell="L5" sqref="L5"/>
    </sheetView>
  </sheetViews>
  <sheetFormatPr defaultColWidth="10.85546875" defaultRowHeight="15" x14ac:dyDescent="0.25"/>
  <cols>
    <col min="1" max="1" width="10.7109375" bestFit="1" customWidth="1"/>
    <col min="12" max="12" width="25.5703125" customWidth="1"/>
  </cols>
  <sheetData>
    <row r="1" spans="1:12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19</v>
      </c>
      <c r="L1" t="s">
        <v>35</v>
      </c>
    </row>
    <row r="2" spans="1:12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>
        <f>LEN(C2:C10)</f>
        <v>7</v>
      </c>
    </row>
    <row r="3" spans="1:12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  <c r="J3">
        <f t="shared" ref="J3:J10" si="0">LEN(C3:C11)</f>
        <v>7</v>
      </c>
      <c r="L3" t="s">
        <v>86</v>
      </c>
    </row>
    <row r="4" spans="1:12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  <c r="J4">
        <f t="shared" si="0"/>
        <v>7</v>
      </c>
    </row>
    <row r="5" spans="1:12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  <c r="J5">
        <f t="shared" si="0"/>
        <v>6</v>
      </c>
    </row>
    <row r="6" spans="1:12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  <c r="J6">
        <f t="shared" si="0"/>
        <v>10</v>
      </c>
    </row>
    <row r="7" spans="1:12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  <c r="J7">
        <f t="shared" si="0"/>
        <v>5</v>
      </c>
    </row>
    <row r="8" spans="1:12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  <c r="J8">
        <f t="shared" si="0"/>
        <v>6</v>
      </c>
    </row>
    <row r="9" spans="1:12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  <c r="J9">
        <f t="shared" si="0"/>
        <v>6</v>
      </c>
    </row>
    <row r="10" spans="1:12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  <c r="J10">
        <f t="shared" si="0"/>
        <v>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/>
  </sheetPr>
  <dimension ref="A1:N10"/>
  <sheetViews>
    <sheetView topLeftCell="G1" workbookViewId="0">
      <selection activeCell="L2" sqref="L2"/>
    </sheetView>
  </sheetViews>
  <sheetFormatPr defaultColWidth="14.5703125" defaultRowHeight="15" x14ac:dyDescent="0.25"/>
  <cols>
    <col min="4" max="4" width="8" customWidth="1"/>
    <col min="10" max="10" width="44.5703125" bestFit="1" customWidth="1"/>
    <col min="14" max="14" width="23.42578125" bestFit="1" customWidth="1"/>
  </cols>
  <sheetData>
    <row r="1" spans="1:14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38</v>
      </c>
      <c r="K1" t="s">
        <v>83</v>
      </c>
      <c r="L1" t="s">
        <v>84</v>
      </c>
      <c r="M1" t="s">
        <v>84</v>
      </c>
    </row>
    <row r="2" spans="1:14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2" t="s">
        <v>48</v>
      </c>
      <c r="I2" s="2" t="s">
        <v>56</v>
      </c>
      <c r="J2" s="1" t="s">
        <v>39</v>
      </c>
      <c r="K2" t="str">
        <f>LEFT(B2:B10,3)</f>
        <v>Jim</v>
      </c>
      <c r="L2" t="str">
        <f>RIGHT(A2:A10,1)</f>
        <v>1</v>
      </c>
      <c r="M2" t="str">
        <f>RIGHT(H2:H10,4)</f>
        <v>2001</v>
      </c>
      <c r="N2" t="s">
        <v>87</v>
      </c>
    </row>
    <row r="3" spans="1:14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2" t="s">
        <v>49</v>
      </c>
      <c r="I3" s="2" t="s">
        <v>57</v>
      </c>
      <c r="J3" s="1" t="s">
        <v>40</v>
      </c>
      <c r="K3" t="str">
        <f t="shared" ref="K3:K10" si="0">LEFT(B3:B11,3)</f>
        <v>Pam</v>
      </c>
      <c r="L3" t="str">
        <f t="shared" ref="L3:L10" si="1">RIGHT(A3:A11,1)</f>
        <v>2</v>
      </c>
      <c r="M3" t="str">
        <f t="shared" ref="M3:M10" si="2">RIGHT(H3:H11,4)</f>
        <v>1999</v>
      </c>
    </row>
    <row r="4" spans="1:14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2" t="s">
        <v>50</v>
      </c>
      <c r="I4" s="2" t="s">
        <v>58</v>
      </c>
      <c r="J4" s="1" t="s">
        <v>41</v>
      </c>
      <c r="K4" t="str">
        <f t="shared" si="0"/>
        <v>Dwi</v>
      </c>
      <c r="L4" t="str">
        <f t="shared" si="1"/>
        <v>3</v>
      </c>
      <c r="M4" t="str">
        <f t="shared" si="2"/>
        <v>2000</v>
      </c>
    </row>
    <row r="5" spans="1:14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2" t="s">
        <v>51</v>
      </c>
      <c r="I5" s="2" t="s">
        <v>59</v>
      </c>
      <c r="J5" s="1" t="s">
        <v>42</v>
      </c>
      <c r="K5" t="str">
        <f t="shared" si="0"/>
        <v>Ang</v>
      </c>
      <c r="L5" t="str">
        <f t="shared" si="1"/>
        <v>4</v>
      </c>
      <c r="M5" t="str">
        <f t="shared" si="2"/>
        <v>2000</v>
      </c>
    </row>
    <row r="6" spans="1:14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2" t="s">
        <v>52</v>
      </c>
      <c r="I6" s="2" t="s">
        <v>60</v>
      </c>
      <c r="J6" s="1" t="s">
        <v>43</v>
      </c>
      <c r="K6" t="str">
        <f t="shared" si="0"/>
        <v>Tob</v>
      </c>
      <c r="L6" t="str">
        <f t="shared" si="1"/>
        <v>5</v>
      </c>
      <c r="M6" t="str">
        <f t="shared" si="2"/>
        <v>2001</v>
      </c>
    </row>
    <row r="7" spans="1:14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2" t="s">
        <v>52</v>
      </c>
      <c r="I7" s="2" t="s">
        <v>61</v>
      </c>
      <c r="J7" s="1" t="s">
        <v>44</v>
      </c>
      <c r="K7" t="str">
        <f t="shared" si="0"/>
        <v>Mic</v>
      </c>
      <c r="L7" t="str">
        <f t="shared" si="1"/>
        <v>6</v>
      </c>
      <c r="M7" t="str">
        <f t="shared" si="2"/>
        <v>2001</v>
      </c>
    </row>
    <row r="8" spans="1:14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2" t="s">
        <v>53</v>
      </c>
      <c r="I8" s="2" t="s">
        <v>61</v>
      </c>
      <c r="J8" s="1" t="s">
        <v>45</v>
      </c>
      <c r="K8" t="str">
        <f t="shared" si="0"/>
        <v>Mer</v>
      </c>
      <c r="L8" t="str">
        <f t="shared" si="1"/>
        <v>7</v>
      </c>
      <c r="M8" t="str">
        <f t="shared" si="2"/>
        <v>2003</v>
      </c>
    </row>
    <row r="9" spans="1:14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2" t="s">
        <v>54</v>
      </c>
      <c r="I9" s="2" t="s">
        <v>62</v>
      </c>
      <c r="J9" s="1" t="s">
        <v>46</v>
      </c>
      <c r="K9" t="str">
        <f t="shared" si="0"/>
        <v>Sta</v>
      </c>
      <c r="L9" t="str">
        <f t="shared" si="1"/>
        <v>8</v>
      </c>
      <c r="M9" t="str">
        <f t="shared" si="2"/>
        <v>2002</v>
      </c>
    </row>
    <row r="10" spans="1:14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2" t="s">
        <v>55</v>
      </c>
      <c r="I10" s="2" t="s">
        <v>62</v>
      </c>
      <c r="J10" s="1" t="s">
        <v>47</v>
      </c>
      <c r="K10" t="str">
        <f t="shared" si="0"/>
        <v>Kev</v>
      </c>
      <c r="L10" t="str">
        <f t="shared" si="1"/>
        <v>9</v>
      </c>
      <c r="M10" t="str">
        <f t="shared" si="2"/>
        <v>2003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9"/>
  </sheetPr>
  <dimension ref="A1:M13"/>
  <sheetViews>
    <sheetView workbookViewId="0">
      <selection activeCell="L9" sqref="L9"/>
    </sheetView>
  </sheetViews>
  <sheetFormatPr defaultColWidth="13.7109375" defaultRowHeight="15" x14ac:dyDescent="0.25"/>
  <cols>
    <col min="1" max="1" width="10.7109375" bestFit="1" customWidth="1"/>
    <col min="4" max="4" width="7.7109375" customWidth="1"/>
    <col min="10" max="10" width="23" bestFit="1" customWidth="1"/>
  </cols>
  <sheetData>
    <row r="1" spans="1:13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70</v>
      </c>
      <c r="K1" t="s">
        <v>88</v>
      </c>
    </row>
    <row r="2" spans="1:13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 t="str">
        <f>TEXT(H2, "dd/mm/yyyy")</f>
        <v>02/11/2001</v>
      </c>
      <c r="K2" t="str">
        <f>RIGHT(J2, 4)</f>
        <v>2001</v>
      </c>
      <c r="M2" s="2"/>
    </row>
    <row r="3" spans="1:13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  <c r="J3" t="str">
        <f t="shared" ref="J3:J10" si="0">TEXT(H3, "dd/mm/yyyy")</f>
        <v>03/10/1999</v>
      </c>
      <c r="K3" t="str">
        <f t="shared" ref="K3:K10" si="1">RIGHT(J3, 4)</f>
        <v>1999</v>
      </c>
      <c r="M3" s="2"/>
    </row>
    <row r="4" spans="1:13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  <c r="J4" t="str">
        <f t="shared" si="0"/>
        <v>04/07/2000</v>
      </c>
      <c r="K4" t="str">
        <f t="shared" si="1"/>
        <v>2000</v>
      </c>
      <c r="M4" s="2"/>
    </row>
    <row r="5" spans="1:13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  <c r="J5" t="str">
        <f t="shared" si="0"/>
        <v>05/01/2000</v>
      </c>
      <c r="K5" t="str">
        <f t="shared" si="1"/>
        <v>2000</v>
      </c>
      <c r="M5" s="2"/>
    </row>
    <row r="6" spans="1:13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  <c r="J6" t="str">
        <f t="shared" si="0"/>
        <v>06/05/2001</v>
      </c>
      <c r="K6" t="str">
        <f t="shared" si="1"/>
        <v>2001</v>
      </c>
      <c r="M6" s="2"/>
    </row>
    <row r="7" spans="1:13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  <c r="J7" t="str">
        <f t="shared" si="0"/>
        <v>07/12/1995</v>
      </c>
      <c r="K7" t="str">
        <f t="shared" si="1"/>
        <v>1995</v>
      </c>
      <c r="M7" s="2"/>
    </row>
    <row r="8" spans="1:13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  <c r="J8" t="str">
        <f t="shared" si="0"/>
        <v>08/11/2003</v>
      </c>
      <c r="K8" t="str">
        <f t="shared" si="1"/>
        <v>2003</v>
      </c>
      <c r="M8" s="2"/>
    </row>
    <row r="9" spans="1:13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  <c r="J9" t="str">
        <f t="shared" si="0"/>
        <v>09/06/2002</v>
      </c>
      <c r="K9" t="str">
        <f t="shared" si="1"/>
        <v>2002</v>
      </c>
      <c r="M9" s="2"/>
    </row>
    <row r="10" spans="1:13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  <c r="J10" t="str">
        <f t="shared" si="0"/>
        <v>10/08/2003</v>
      </c>
      <c r="K10" t="str">
        <f t="shared" si="1"/>
        <v>2003</v>
      </c>
      <c r="M10" s="2"/>
    </row>
    <row r="12" spans="1:13" x14ac:dyDescent="0.25">
      <c r="H12" s="1"/>
    </row>
    <row r="13" spans="1:13" x14ac:dyDescent="0.25">
      <c r="H13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/>
  </sheetPr>
  <dimension ref="A1:M10"/>
  <sheetViews>
    <sheetView workbookViewId="0">
      <selection activeCell="K1" sqref="K1"/>
    </sheetView>
  </sheetViews>
  <sheetFormatPr defaultColWidth="13.7109375" defaultRowHeight="15" x14ac:dyDescent="0.25"/>
  <cols>
    <col min="1" max="1" width="10.7109375" bestFit="1" customWidth="1"/>
    <col min="4" max="4" width="7.7109375" customWidth="1"/>
  </cols>
  <sheetData>
    <row r="1" spans="1:13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68</v>
      </c>
      <c r="M1" t="s">
        <v>69</v>
      </c>
    </row>
    <row r="2" spans="1:13" x14ac:dyDescent="0.25">
      <c r="A2">
        <v>1001</v>
      </c>
      <c r="B2" s="2" t="s">
        <v>2</v>
      </c>
      <c r="C2" s="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 t="str">
        <f>TRIM(C:C)</f>
        <v>Halpert</v>
      </c>
    </row>
    <row r="3" spans="1:13" x14ac:dyDescent="0.25">
      <c r="A3">
        <v>1002</v>
      </c>
      <c r="B3" s="2" t="s">
        <v>4</v>
      </c>
      <c r="C3" s="2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  <c r="J3" t="str">
        <f t="shared" ref="J3:J10" si="0">TRIM(C:C)</f>
        <v>Beasley</v>
      </c>
    </row>
    <row r="4" spans="1:13" x14ac:dyDescent="0.25">
      <c r="A4">
        <v>1003</v>
      </c>
      <c r="B4" s="2" t="s">
        <v>6</v>
      </c>
      <c r="C4" s="2" t="s">
        <v>67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  <c r="J4" t="str">
        <f t="shared" si="0"/>
        <v>Schrute</v>
      </c>
    </row>
    <row r="5" spans="1:13" x14ac:dyDescent="0.25">
      <c r="A5">
        <v>1004</v>
      </c>
      <c r="B5" s="2" t="s">
        <v>13</v>
      </c>
      <c r="C5" s="2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  <c r="J5" t="str">
        <f t="shared" si="0"/>
        <v>Martin</v>
      </c>
    </row>
    <row r="6" spans="1:13" x14ac:dyDescent="0.25">
      <c r="A6">
        <v>1005</v>
      </c>
      <c r="B6" s="2" t="s">
        <v>14</v>
      </c>
      <c r="C6" s="2" t="s">
        <v>66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  <c r="J6" t="str">
        <f t="shared" si="0"/>
        <v>Flenderson</v>
      </c>
    </row>
    <row r="7" spans="1:13" x14ac:dyDescent="0.25">
      <c r="A7">
        <v>1006</v>
      </c>
      <c r="B7" s="2" t="s">
        <v>8</v>
      </c>
      <c r="C7" s="2" t="s">
        <v>65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  <c r="J7" t="str">
        <f t="shared" si="0"/>
        <v>Scott</v>
      </c>
    </row>
    <row r="8" spans="1:13" x14ac:dyDescent="0.25">
      <c r="A8">
        <v>1007</v>
      </c>
      <c r="B8" s="2" t="s">
        <v>33</v>
      </c>
      <c r="C8" s="2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  <c r="J8" t="str">
        <f t="shared" si="0"/>
        <v>Palmer</v>
      </c>
    </row>
    <row r="9" spans="1:13" x14ac:dyDescent="0.25">
      <c r="A9">
        <v>1008</v>
      </c>
      <c r="B9" s="2" t="s">
        <v>16</v>
      </c>
      <c r="C9" s="2" t="s">
        <v>64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  <c r="J9" t="str">
        <f t="shared" si="0"/>
        <v>Hudson</v>
      </c>
    </row>
    <row r="10" spans="1:13" x14ac:dyDescent="0.25">
      <c r="A10">
        <v>1009</v>
      </c>
      <c r="B10" s="2" t="s">
        <v>10</v>
      </c>
      <c r="C10" s="2" t="s">
        <v>63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  <c r="J10" t="str">
        <f t="shared" si="0"/>
        <v>Malone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/>
  </sheetPr>
  <dimension ref="A1:K12"/>
  <sheetViews>
    <sheetView workbookViewId="0">
      <selection activeCell="K4" sqref="K4"/>
    </sheetView>
  </sheetViews>
  <sheetFormatPr defaultRowHeight="15" x14ac:dyDescent="0.25"/>
  <cols>
    <col min="2" max="2" width="10.42578125" customWidth="1"/>
    <col min="3" max="5" width="10.7109375" customWidth="1"/>
    <col min="6" max="6" width="16.5703125" customWidth="1"/>
    <col min="8" max="8" width="14.28515625" customWidth="1"/>
    <col min="9" max="9" width="14.7109375" customWidth="1"/>
    <col min="10" max="10" width="23.5703125" bestFit="1" customWidth="1"/>
    <col min="11" max="11" width="27.7109375" bestFit="1" customWidth="1"/>
  </cols>
  <sheetData>
    <row r="1" spans="1:11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18</v>
      </c>
      <c r="K1" t="s">
        <v>89</v>
      </c>
    </row>
    <row r="2" spans="1:11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 t="str">
        <f>CONCATENATE(B2:B10, " ",C2:C10)</f>
        <v>Jim Halpert</v>
      </c>
      <c r="K2" t="str">
        <f>LOWER(CONCATENATE(B2,".",C2,"@gmail.com"))</f>
        <v>jim.halpert@gmail.com</v>
      </c>
    </row>
    <row r="3" spans="1:11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  <c r="J3" t="str">
        <f t="shared" ref="J3:J12" si="0">CONCATENATE(B3:B11, " ",C3:C11)</f>
        <v>Pam Beasley</v>
      </c>
      <c r="K3" t="str">
        <f t="shared" ref="K3:K10" si="1">LOWER(CONCATENATE(B3,".",C3,"@gmail.com"))</f>
        <v>pam.beasley@gmail.com</v>
      </c>
    </row>
    <row r="4" spans="1:11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  <c r="J4" t="str">
        <f t="shared" si="0"/>
        <v>Dwight Schrute</v>
      </c>
      <c r="K4" t="str">
        <f t="shared" si="1"/>
        <v>dwight.schrute@gmail.com</v>
      </c>
    </row>
    <row r="5" spans="1:11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  <c r="J5" t="str">
        <f t="shared" si="0"/>
        <v>Angela Martin</v>
      </c>
      <c r="K5" t="str">
        <f t="shared" si="1"/>
        <v>angela.martin@gmail.com</v>
      </c>
    </row>
    <row r="6" spans="1:11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  <c r="J6" t="str">
        <f t="shared" si="0"/>
        <v>Toby Flenderson</v>
      </c>
      <c r="K6" t="str">
        <f t="shared" si="1"/>
        <v>toby.flenderson@gmail.com</v>
      </c>
    </row>
    <row r="7" spans="1:11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  <c r="J7" t="str">
        <f t="shared" si="0"/>
        <v>Michael Scott</v>
      </c>
      <c r="K7" t="str">
        <f t="shared" si="1"/>
        <v>michael.scott@gmail.com</v>
      </c>
    </row>
    <row r="8" spans="1:11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  <c r="J8" t="str">
        <f t="shared" si="0"/>
        <v>Meredith Palmer</v>
      </c>
      <c r="K8" t="str">
        <f t="shared" si="1"/>
        <v>meredith.palmer@gmail.com</v>
      </c>
    </row>
    <row r="9" spans="1:11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  <c r="J9" t="str">
        <f t="shared" si="0"/>
        <v>Stanley Hudson</v>
      </c>
      <c r="K9" t="str">
        <f t="shared" si="1"/>
        <v>stanley.hudson@gmail.com</v>
      </c>
    </row>
    <row r="10" spans="1:11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  <c r="J10" t="str">
        <f t="shared" si="0"/>
        <v>Kevin Malone</v>
      </c>
      <c r="K10" t="str">
        <f t="shared" si="1"/>
        <v>kevin.malone@gmail.com</v>
      </c>
    </row>
    <row r="11" spans="1:11" x14ac:dyDescent="0.25">
      <c r="H11" t="str">
        <f t="shared" ref="H11:H12" si="2">CONCATENATE(B11," ",C11)</f>
        <v xml:space="preserve"> </v>
      </c>
      <c r="J11" t="str">
        <f t="shared" si="0"/>
        <v xml:space="preserve"> </v>
      </c>
    </row>
    <row r="12" spans="1:11" x14ac:dyDescent="0.25">
      <c r="H12" t="str">
        <f t="shared" si="2"/>
        <v xml:space="preserve"> </v>
      </c>
      <c r="J12" t="str">
        <f t="shared" si="0"/>
        <v xml:space="preserve"> 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9"/>
  </sheetPr>
  <dimension ref="A1:M20"/>
  <sheetViews>
    <sheetView workbookViewId="0">
      <selection activeCell="K11" sqref="K11"/>
    </sheetView>
  </sheetViews>
  <sheetFormatPr defaultColWidth="13.7109375" defaultRowHeight="15" x14ac:dyDescent="0.25"/>
  <cols>
    <col min="1" max="1" width="10.7109375" bestFit="1" customWidth="1"/>
    <col min="4" max="4" width="7.7109375" customWidth="1"/>
    <col min="10" max="10" width="14.42578125" bestFit="1" customWidth="1"/>
    <col min="11" max="11" width="15.28515625" bestFit="1" customWidth="1"/>
    <col min="12" max="12" width="17.28515625" bestFit="1" customWidth="1"/>
  </cols>
  <sheetData>
    <row r="1" spans="1:13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71</v>
      </c>
      <c r="K1" t="s">
        <v>72</v>
      </c>
      <c r="L1" t="s">
        <v>73</v>
      </c>
    </row>
    <row r="2" spans="1:13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2" t="s">
        <v>48</v>
      </c>
      <c r="I2" s="2" t="s">
        <v>56</v>
      </c>
      <c r="J2" t="str">
        <f>SUBSTITUTE(H2,"/","-",1)</f>
        <v>11-2/2001</v>
      </c>
      <c r="K2" t="str">
        <f>SUBSTITUTE(I2,"/","-",2)</f>
        <v>9/6-2015</v>
      </c>
      <c r="L2" t="str">
        <f>SUBSTITUTE(H2,"-","/")</f>
        <v>11/2/2001</v>
      </c>
      <c r="M2" t="str">
        <f>SUBSTITUTE(H2, "/", "-")</f>
        <v>11-2-2001</v>
      </c>
    </row>
    <row r="3" spans="1:13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2" t="s">
        <v>49</v>
      </c>
      <c r="I3" s="2" t="s">
        <v>57</v>
      </c>
      <c r="J3" t="str">
        <f t="shared" ref="J3:J10" si="0">SUBSTITUTE(H3,"/","-",1)</f>
        <v>10-3/1999</v>
      </c>
      <c r="K3" t="str">
        <f t="shared" ref="K3:K10" si="1">SUBSTITUTE(I3,"/","-",2)</f>
        <v>10/10-2015</v>
      </c>
      <c r="L3" t="str">
        <f t="shared" ref="L3:L10" si="2">SUBSTITUTE(H3,"-","/")</f>
        <v>10/3/1999</v>
      </c>
      <c r="M3" t="str">
        <f t="shared" ref="M3:M10" si="3">SUBSTITUTE(H3, "/", "-")</f>
        <v>10-3-1999</v>
      </c>
    </row>
    <row r="4" spans="1:13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2" t="s">
        <v>50</v>
      </c>
      <c r="I4" s="2" t="s">
        <v>58</v>
      </c>
      <c r="J4" t="str">
        <f t="shared" si="0"/>
        <v>7-4/2000</v>
      </c>
      <c r="K4" t="str">
        <f t="shared" si="1"/>
        <v>9/8-2017</v>
      </c>
      <c r="L4" t="str">
        <f t="shared" si="2"/>
        <v>7/4/2000</v>
      </c>
      <c r="M4" t="str">
        <f t="shared" si="3"/>
        <v>7-4-2000</v>
      </c>
    </row>
    <row r="5" spans="1:13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2" t="s">
        <v>51</v>
      </c>
      <c r="I5" s="2" t="s">
        <v>59</v>
      </c>
      <c r="J5" t="str">
        <f t="shared" si="0"/>
        <v>1-5/2000</v>
      </c>
      <c r="K5" t="str">
        <f t="shared" si="1"/>
        <v>12/3-2015</v>
      </c>
      <c r="L5" t="str">
        <f t="shared" si="2"/>
        <v>1/5/2000</v>
      </c>
      <c r="M5" t="str">
        <f t="shared" si="3"/>
        <v>1-5-2000</v>
      </c>
    </row>
    <row r="6" spans="1:13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2" t="s">
        <v>52</v>
      </c>
      <c r="I6" s="2" t="s">
        <v>60</v>
      </c>
      <c r="J6" t="str">
        <f t="shared" si="0"/>
        <v>5-6/2001</v>
      </c>
      <c r="K6" t="str">
        <f t="shared" si="1"/>
        <v>8/30-2017</v>
      </c>
      <c r="L6" t="str">
        <f t="shared" si="2"/>
        <v>5/6/2001</v>
      </c>
      <c r="M6" t="str">
        <f t="shared" si="3"/>
        <v>5-6-2001</v>
      </c>
    </row>
    <row r="7" spans="1:13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2" t="s">
        <v>52</v>
      </c>
      <c r="I7" s="2" t="s">
        <v>61</v>
      </c>
      <c r="J7" t="str">
        <f t="shared" si="0"/>
        <v>5-6/2001</v>
      </c>
      <c r="K7" t="str">
        <f t="shared" si="1"/>
        <v>9/11-2013</v>
      </c>
      <c r="L7" t="str">
        <f t="shared" si="2"/>
        <v>5/6/2001</v>
      </c>
      <c r="M7" t="str">
        <f t="shared" si="3"/>
        <v>5-6-2001</v>
      </c>
    </row>
    <row r="8" spans="1:13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2" t="s">
        <v>53</v>
      </c>
      <c r="I8" s="2" t="s">
        <v>61</v>
      </c>
      <c r="J8" t="str">
        <f t="shared" si="0"/>
        <v>11-8/2003</v>
      </c>
      <c r="K8" t="str">
        <f t="shared" si="1"/>
        <v>9/11-2013</v>
      </c>
      <c r="L8" t="str">
        <f t="shared" si="2"/>
        <v>11/8/2003</v>
      </c>
      <c r="M8" t="str">
        <f t="shared" si="3"/>
        <v>11-8-2003</v>
      </c>
    </row>
    <row r="9" spans="1:13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2" t="s">
        <v>54</v>
      </c>
      <c r="I9" s="2" t="s">
        <v>62</v>
      </c>
      <c r="J9" t="str">
        <f t="shared" si="0"/>
        <v>6-9/2002</v>
      </c>
      <c r="K9" t="str">
        <f t="shared" si="1"/>
        <v>4/22-2015</v>
      </c>
      <c r="L9" t="str">
        <f t="shared" si="2"/>
        <v>6/9/2002</v>
      </c>
      <c r="M9" t="str">
        <f t="shared" si="3"/>
        <v>6-9-2002</v>
      </c>
    </row>
    <row r="10" spans="1:13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2" t="s">
        <v>55</v>
      </c>
      <c r="I10" s="2" t="s">
        <v>62</v>
      </c>
      <c r="J10" t="str">
        <f t="shared" si="0"/>
        <v>8-10/2003</v>
      </c>
      <c r="K10" t="str">
        <f t="shared" si="1"/>
        <v>4/22-2015</v>
      </c>
      <c r="L10" t="str">
        <f t="shared" si="2"/>
        <v>8/10/2003</v>
      </c>
      <c r="M10" t="str">
        <f t="shared" si="3"/>
        <v>8-10-2003</v>
      </c>
    </row>
    <row r="12" spans="1:13" x14ac:dyDescent="0.25">
      <c r="H12" s="2"/>
      <c r="I12" s="2"/>
    </row>
    <row r="13" spans="1:13" x14ac:dyDescent="0.25">
      <c r="H13" s="2"/>
      <c r="I13" s="2"/>
    </row>
    <row r="14" spans="1:13" x14ac:dyDescent="0.25">
      <c r="H14" s="2"/>
      <c r="I14" s="2"/>
    </row>
    <row r="15" spans="1:13" x14ac:dyDescent="0.25">
      <c r="H15" s="2"/>
      <c r="I15" s="2"/>
    </row>
    <row r="16" spans="1:13" x14ac:dyDescent="0.25">
      <c r="H16" s="2"/>
      <c r="I16" s="2"/>
    </row>
    <row r="17" spans="8:9" x14ac:dyDescent="0.25">
      <c r="H17" s="2"/>
      <c r="I17" s="2"/>
    </row>
    <row r="18" spans="8:9" x14ac:dyDescent="0.25">
      <c r="H18" s="2"/>
      <c r="I18" s="2"/>
    </row>
    <row r="19" spans="8:9" x14ac:dyDescent="0.25">
      <c r="H19" s="2"/>
      <c r="I19" s="2"/>
    </row>
    <row r="20" spans="8:9" x14ac:dyDescent="0.25">
      <c r="H20" s="2"/>
      <c r="I20" s="2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9"/>
  </sheetPr>
  <dimension ref="A1:L10"/>
  <sheetViews>
    <sheetView workbookViewId="0">
      <selection activeCell="H15" sqref="H15"/>
    </sheetView>
  </sheetViews>
  <sheetFormatPr defaultColWidth="13" defaultRowHeight="15" x14ac:dyDescent="0.25"/>
  <cols>
    <col min="11" max="11" width="19.85546875" bestFit="1" customWidth="1"/>
    <col min="12" max="12" width="29.7109375" bestFit="1" customWidth="1"/>
  </cols>
  <sheetData>
    <row r="1" spans="1:12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92</v>
      </c>
      <c r="K1" t="s">
        <v>91</v>
      </c>
      <c r="L1" t="s">
        <v>90</v>
      </c>
    </row>
    <row r="2" spans="1:12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>
        <f>SUM(G2:G10)</f>
        <v>437000</v>
      </c>
      <c r="K2">
        <f>SUMIF(G2:G10, "&gt;50000")</f>
        <v>128000</v>
      </c>
      <c r="L2">
        <f>SUMIFS(G2:G10, E2:E10, "Female", D2:D10, "&gt;30")</f>
        <v>88000</v>
      </c>
    </row>
    <row r="3" spans="1:12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</row>
    <row r="4" spans="1:12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</row>
    <row r="5" spans="1:12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</row>
    <row r="6" spans="1:12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</row>
    <row r="7" spans="1:12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</row>
    <row r="8" spans="1:12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</row>
    <row r="9" spans="1:12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</row>
    <row r="10" spans="1:12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9"/>
  </sheetPr>
  <dimension ref="A1:L10"/>
  <sheetViews>
    <sheetView workbookViewId="0">
      <selection activeCell="M2" sqref="M2"/>
    </sheetView>
  </sheetViews>
  <sheetFormatPr defaultColWidth="13.7109375" defaultRowHeight="15" x14ac:dyDescent="0.25"/>
  <cols>
    <col min="1" max="1" width="10.7109375" bestFit="1" customWidth="1"/>
    <col min="4" max="4" width="7.7109375" customWidth="1"/>
  </cols>
  <sheetData>
    <row r="1" spans="1:12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74</v>
      </c>
      <c r="K1" t="s">
        <v>75</v>
      </c>
      <c r="L1" t="s">
        <v>76</v>
      </c>
    </row>
    <row r="2" spans="1:12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>
        <f>COUNT(A2:A10)</f>
        <v>9</v>
      </c>
      <c r="K2">
        <f>COUNTIF(F2:F10, "Salesman")</f>
        <v>3</v>
      </c>
      <c r="L2">
        <f>COUNTIFS(G2:G10, "&gt;45000", F2:F10, "Salesman",D2:D10, "&gt;28")</f>
        <v>2</v>
      </c>
    </row>
    <row r="3" spans="1:12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</row>
    <row r="4" spans="1:12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</row>
    <row r="5" spans="1:12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</row>
    <row r="6" spans="1:12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</row>
    <row r="7" spans="1:12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</row>
    <row r="8" spans="1:12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</row>
    <row r="9" spans="1:12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</row>
    <row r="10" spans="1:12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9"/>
  </sheetPr>
  <dimension ref="A1:K10"/>
  <sheetViews>
    <sheetView workbookViewId="0">
      <selection activeCell="F11" sqref="F11"/>
    </sheetView>
  </sheetViews>
  <sheetFormatPr defaultRowHeight="15" x14ac:dyDescent="0.25"/>
  <cols>
    <col min="2" max="2" width="10.140625" bestFit="1" customWidth="1"/>
    <col min="3" max="3" width="11" bestFit="1" customWidth="1"/>
    <col min="6" max="6" width="17.42578125" bestFit="1" customWidth="1"/>
    <col min="8" max="8" width="14.42578125" customWidth="1"/>
    <col min="9" max="9" width="13.28515625" customWidth="1"/>
    <col min="11" max="11" width="14.7109375" bestFit="1" customWidth="1"/>
  </cols>
  <sheetData>
    <row r="1" spans="1:11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81</v>
      </c>
      <c r="K1" t="s">
        <v>82</v>
      </c>
    </row>
    <row r="2" spans="1:11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2" t="s">
        <v>48</v>
      </c>
      <c r="I2" s="2" t="s">
        <v>56</v>
      </c>
      <c r="J2">
        <f>_xlfn.DAYS(I2,H2)</f>
        <v>5056</v>
      </c>
      <c r="K2">
        <f>NETWORKDAYS(H2,I2)</f>
        <v>3611</v>
      </c>
    </row>
    <row r="3" spans="1:11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2" t="s">
        <v>49</v>
      </c>
      <c r="I3" s="2" t="s">
        <v>57</v>
      </c>
      <c r="J3">
        <f t="shared" ref="J3:J10" si="0">_xlfn.DAYS(I3,H3)</f>
        <v>5851</v>
      </c>
      <c r="K3">
        <f t="shared" ref="K3:K10" si="1">NETWORKDAYS(H3,I3)</f>
        <v>4180</v>
      </c>
    </row>
    <row r="4" spans="1:11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2" t="s">
        <v>50</v>
      </c>
      <c r="I4" s="2" t="s">
        <v>58</v>
      </c>
      <c r="J4">
        <f t="shared" si="0"/>
        <v>6275</v>
      </c>
      <c r="K4">
        <f t="shared" si="1"/>
        <v>4484</v>
      </c>
    </row>
    <row r="5" spans="1:11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2" t="s">
        <v>51</v>
      </c>
      <c r="I5" s="2" t="s">
        <v>59</v>
      </c>
      <c r="J5">
        <f t="shared" si="0"/>
        <v>5811</v>
      </c>
      <c r="K5">
        <f t="shared" si="1"/>
        <v>4152</v>
      </c>
    </row>
    <row r="6" spans="1:11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2" t="s">
        <v>52</v>
      </c>
      <c r="I6" s="2" t="s">
        <v>60</v>
      </c>
      <c r="J6">
        <f t="shared" si="0"/>
        <v>5960</v>
      </c>
      <c r="K6">
        <f t="shared" si="1"/>
        <v>4258</v>
      </c>
    </row>
    <row r="7" spans="1:11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2" t="s">
        <v>52</v>
      </c>
      <c r="I7" s="2" t="s">
        <v>61</v>
      </c>
      <c r="J7">
        <f t="shared" si="0"/>
        <v>4511</v>
      </c>
      <c r="K7">
        <f t="shared" si="1"/>
        <v>3223</v>
      </c>
    </row>
    <row r="8" spans="1:11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2" t="s">
        <v>53</v>
      </c>
      <c r="I8" s="2" t="s">
        <v>61</v>
      </c>
      <c r="J8">
        <f t="shared" si="0"/>
        <v>3595</v>
      </c>
      <c r="K8">
        <f t="shared" si="1"/>
        <v>2568</v>
      </c>
    </row>
    <row r="9" spans="1:11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2" t="s">
        <v>54</v>
      </c>
      <c r="I9" s="2" t="s">
        <v>62</v>
      </c>
      <c r="J9">
        <f t="shared" si="0"/>
        <v>4700</v>
      </c>
      <c r="K9">
        <f t="shared" si="1"/>
        <v>3358</v>
      </c>
    </row>
    <row r="10" spans="1:11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2" t="s">
        <v>55</v>
      </c>
      <c r="I10" s="2" t="s">
        <v>62</v>
      </c>
      <c r="J10">
        <f t="shared" si="0"/>
        <v>4273</v>
      </c>
      <c r="K10">
        <f t="shared" si="1"/>
        <v>3053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Max-Min</vt:lpstr>
      <vt:lpstr>IF-IFS</vt:lpstr>
      <vt:lpstr>Len</vt:lpstr>
      <vt:lpstr>LeftRight</vt:lpstr>
      <vt:lpstr>DateToText</vt:lpstr>
      <vt:lpstr>TRIM</vt:lpstr>
      <vt:lpstr>Concatenate</vt:lpstr>
      <vt:lpstr>Substitute</vt:lpstr>
      <vt:lpstr>SUM-SumIF</vt:lpstr>
      <vt:lpstr>Count-CountIF</vt:lpstr>
      <vt:lpstr>Days-NetworkDays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Freberg</dc:creator>
  <cp:lastModifiedBy>Ahmed Hassan</cp:lastModifiedBy>
  <dcterms:created xsi:type="dcterms:W3CDTF">2021-12-16T14:18:34Z</dcterms:created>
  <dcterms:modified xsi:type="dcterms:W3CDTF">2026-02-06T01:57:06Z</dcterms:modified>
</cp:coreProperties>
</file>