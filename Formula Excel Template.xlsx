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excel-analytics-practice\"/>
    </mc:Choice>
  </mc:AlternateContent>
  <bookViews>
    <workbookView xWindow="0" yWindow="0" windowWidth="20490" windowHeight="7320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M3" i="7"/>
  <c r="M4" i="7"/>
  <c r="M5" i="7"/>
  <c r="M6" i="7"/>
  <c r="M7" i="7"/>
  <c r="M8" i="7"/>
  <c r="M9" i="7"/>
  <c r="M10" i="7"/>
  <c r="M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J3" i="6"/>
  <c r="J4" i="6"/>
  <c r="J5" i="6"/>
  <c r="J6" i="6"/>
  <c r="J7" i="6"/>
  <c r="J8" i="6"/>
  <c r="J9" i="6"/>
  <c r="J10" i="6"/>
  <c r="J2" i="6"/>
  <c r="K3" i="3"/>
  <c r="K4" i="3"/>
  <c r="K5" i="3"/>
  <c r="K6" i="3"/>
  <c r="K7" i="3"/>
  <c r="K8" i="3"/>
  <c r="K9" i="3"/>
  <c r="K10" i="3"/>
  <c r="K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C16" i="9"/>
  <c r="B16" i="9"/>
  <c r="C15" i="9"/>
  <c r="B15" i="9"/>
  <c r="H11" i="1" l="1"/>
  <c r="H12" i="1"/>
</calcChain>
</file>

<file path=xl/sharedStrings.xml><?xml version="1.0" encoding="utf-8"?>
<sst xmlns="http://schemas.openxmlformats.org/spreadsheetml/2006/main" count="591" uniqueCount="94">
  <si>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</si>
  <si>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</si>
  <si>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</si>
  <si>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</si>
  <si>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</si>
  <si>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</si>
  <si>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</si>
  <si>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</si>
  <si>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</si>
  <si>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</si>
  <si>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</si>
  <si>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</si>
  <si>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</si>
  <si>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</si>
  <si>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</si>
  <si>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</si>
  <si>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</si>
  <si>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</si>
  <si>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</si>
  <si>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</si>
  <si>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</si>
  <si>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</si>
  <si>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</si>
  <si>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</si>
  <si>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</si>
  <si>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</si>
  <si>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</si>
  <si>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</si>
  <si>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</si>
  <si>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</si>
  <si>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</si>
  <si>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</si>
  <si>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</si>
  <si>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</si>
  <si>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</si>
  <si>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</si>
  <si>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</si>
  <si>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</si>
  <si>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</si>
  <si>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</si>
  <si>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</si>
  <si>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</si>
  <si>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</si>
  <si>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</si>
  <si>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</si>
  <si>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</si>
  <si>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</si>
  <si>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</si>
  <si>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</si>
  <si>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</si>
  <si>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</si>
  <si>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</si>
  <si>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</si>
  <si>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</si>
  <si>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</si>
  <si>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</si>
  <si>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</si>
  <si>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</si>
  <si>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</si>
  <si>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</si>
  <si>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</si>
  <si>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</si>
  <si>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</si>
  <si>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</si>
  <si>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</si>
  <si>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</si>
  <si>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</si>
  <si>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</si>
  <si>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</si>
  <si>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</si>
  <si>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</si>
  <si>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</si>
  <si>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</si>
  <si>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</si>
  <si>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</si>
  <si>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</si>
  <si>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</si>
  <si>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</si>
  <si>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</si>
  <si>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</si>
  <si>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</si>
  <si>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</si>
  <si>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</si>
  <si>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</si>
  <si>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</si>
  <si>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Max/Min formula</t>
  </si>
  <si>
    <t>old version of excel I used nested if statement</t>
  </si>
  <si>
    <t>phone numbers can be useful for len to determine appropriate phone number length</t>
  </si>
  <si>
    <t>very useful for extracting date if date format is in text</t>
  </si>
  <si>
    <t>Year</t>
  </si>
  <si>
    <t>gmail</t>
  </si>
  <si>
    <t>SUMIFS (salary, gender, age&gt;30)</t>
  </si>
  <si>
    <t>SUMIF (salary&gt;50000)</t>
  </si>
  <si>
    <t>SUM(salary)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</si>
</sst>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6"/>
  <sheetViews>
    <sheetView workbookViewId="0">
      <selection activeCell="A12" sqref="A12:I12"/>
    </sheetView>
  </sheetViews>
  <sheetFormatPr defaultColWidth="13.7109375" defaultRowHeight="15" x14ac:dyDescent="0.25"/>
  <cols>
    <col min="1" max="1" width="10.7109375" bestFit="1" customWidth="1"/>
    <col min="3" max="3" width="11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/>
      <c r="K2" s="1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/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2" spans="1:11" x14ac:dyDescent="0.25">
      <c r="A12" s="4" t="s">
        <v>85</v>
      </c>
      <c r="B12" s="4"/>
      <c r="C12" s="4"/>
      <c r="D12" s="4"/>
      <c r="E12" s="4"/>
      <c r="F12" s="4"/>
      <c r="G12" s="4"/>
      <c r="H12" s="4"/>
      <c r="I12" s="4"/>
    </row>
    <row r="14" spans="1:11" x14ac:dyDescent="0.25">
      <c r="B14" t="s">
        <v>77</v>
      </c>
      <c r="C14" t="s">
        <v>78</v>
      </c>
    </row>
    <row r="15" spans="1:11" x14ac:dyDescent="0.25">
      <c r="A15" t="s">
        <v>36</v>
      </c>
      <c r="B15" s="1">
        <f>MAX(H2:H10)</f>
        <v>37933</v>
      </c>
      <c r="C15" s="1">
        <f>MIN(H2:H10)</f>
        <v>35040</v>
      </c>
    </row>
    <row r="16" spans="1:11" x14ac:dyDescent="0.25">
      <c r="A16" t="s">
        <v>22</v>
      </c>
      <c r="B16">
        <f>MAX(G2:G10)</f>
        <v>65000</v>
      </c>
      <c r="C16">
        <f>MIN(G2:G10)</f>
        <v>36000</v>
      </c>
    </row>
  </sheetData>
  <mergeCells count="1">
    <mergeCell ref="A12:I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M8" sqref="M8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  <col min="10" max="10" width="9.28515625" customWidth="1"/>
    <col min="11" max="11" width="16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 &gt; 30, "Old", "Young")</f>
        <v>Young</v>
      </c>
      <c r="K2" t="str">
        <f>IF(F2="Salesman", "Sales", IF(F2 = "HR", "Fire Immediately", IF(F2 = "Regional Manager", "Give Bonus", "unkown")))</f>
        <v>Sales</v>
      </c>
      <c r="L2" t="s">
        <v>86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 &gt; 30, "Old", "Young")</f>
        <v>Young</v>
      </c>
      <c r="K3" t="str">
        <f t="shared" ref="K3:K10" si="1">IF(F3="Salesman", "Sales", IF(F3 = "HR", "Fire Immediately", IF(F3 = "Regional Manager", "Give Bonus", "unkown")))</f>
        <v>unkown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str">
        <f t="shared" si="1"/>
        <v>unkown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Give Bonus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str">
        <f t="shared" si="1"/>
        <v>unkown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str">
        <f t="shared" si="1"/>
        <v>unkown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5" sqref="L5"/>
    </sheetView>
  </sheetViews>
  <sheetFormatPr defaultColWidth="10.85546875" defaultRowHeight="15" x14ac:dyDescent="0.25"/>
  <cols>
    <col min="1" max="1" width="10.7109375" bestFit="1" customWidth="1"/>
    <col min="12" max="12" width="25.57031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  <c r="L3" t="s">
        <v>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0"/>
  <sheetViews>
    <sheetView topLeftCell="G1" workbookViewId="0">
      <selection activeCell="L2" sqref="L2"/>
    </sheetView>
  </sheetViews>
  <sheetFormatPr defaultColWidth="14.5703125" defaultRowHeight="15" x14ac:dyDescent="0.25"/>
  <cols>
    <col min="4" max="4" width="8" customWidth="1"/>
    <col min="10" max="10" width="44.5703125" bestFit="1" customWidth="1"/>
    <col min="14" max="14" width="23.42578125" bestFit="1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83</v>
      </c>
      <c r="L1" t="s">
        <v>84</v>
      </c>
      <c r="M1" t="s">
        <v>84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  <c r="N2" t="s">
        <v>88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3"/>
  <sheetViews>
    <sheetView workbookViewId="0">
      <selection activeCell="L9" sqref="L9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3" bestFit="1" customWidth="1"/>
    <col min="11" max="11" width="13.7109375" style="2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s="2" t="s">
        <v>89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 "dd/mm/yyyy")</f>
        <v>02/11/2001</v>
      </c>
      <c r="K2" s="2" t="str">
        <f>RIGHT(J2, 4)</f>
        <v>2001</v>
      </c>
      <c r="M2" s="3"/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 "dd/mm/yyyy")</f>
        <v>03/10/1999</v>
      </c>
      <c r="K3" s="2" t="str">
        <f t="shared" ref="K3:K10" si="1">RIGHT(J3, 4)</f>
        <v>1999</v>
      </c>
      <c r="M3" s="3"/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 t="str">
        <f t="shared" si="1"/>
        <v>2000</v>
      </c>
      <c r="M4" s="3"/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 t="str">
        <f t="shared" si="1"/>
        <v>2000</v>
      </c>
      <c r="M5" s="3"/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 t="str">
        <f t="shared" si="1"/>
        <v>2001</v>
      </c>
      <c r="M6" s="3"/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 t="str">
        <f t="shared" si="1"/>
        <v>1995</v>
      </c>
      <c r="M7" s="3"/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 t="str">
        <f t="shared" si="1"/>
        <v>2003</v>
      </c>
      <c r="M8" s="3"/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 t="str">
        <f t="shared" si="1"/>
        <v>2002</v>
      </c>
      <c r="M9" s="3"/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 t="str">
        <f t="shared" si="1"/>
        <v>2003</v>
      </c>
      <c r="M10" s="3"/>
    </row>
    <row r="12" spans="1:13" x14ac:dyDescent="0.25">
      <c r="H12" s="1"/>
    </row>
    <row r="13" spans="1:13" x14ac:dyDescent="0.25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K1" sqref="K1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M1" t="s">
        <v>69</v>
      </c>
    </row>
    <row r="2" spans="1:13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TRIM(C:C)</f>
        <v>Halpert</v>
      </c>
    </row>
    <row r="3" spans="1:13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TRIM(C:C)</f>
        <v>Beasley</v>
      </c>
    </row>
    <row r="4" spans="1:13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3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3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3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3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3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3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K4" sqref="K4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3.5703125" bestFit="1" customWidth="1"/>
    <col min="11" max="11" width="27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90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CONCATENATE(B2:B10, " ",C2:C10)</f>
        <v>Jim Halpert</v>
      </c>
      <c r="K2" t="str">
        <f>LOWER(CONCATENATE(B2,".",C2,"@gmail.com"))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CONCATENATE(B3:B11, " ",C3:C11)</f>
        <v>Pam Beasley</v>
      </c>
      <c r="K3" t="str">
        <f t="shared" ref="K3:K10" si="1">LOWER(CONCATENATE(B3,".",C3,"@gmail.com"))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2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20"/>
  <sheetViews>
    <sheetView workbookViewId="0">
      <selection activeCell="K11" sqref="K11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  <col min="10" max="10" width="14.42578125" bestFit="1" customWidth="1"/>
    <col min="11" max="11" width="15.28515625" bestFit="1" customWidth="1"/>
    <col min="12" max="12" width="17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SUBSTITUTE(H2,"/","-",1)</f>
        <v>11-2/2001</v>
      </c>
      <c r="K2" t="str">
        <f>SUBSTITUTE(I2,"/","-",2)</f>
        <v>9/6-2015</v>
      </c>
      <c r="L2" t="str">
        <f>SUBSTITUTE(H2,"-","/")</f>
        <v>11/2/2001</v>
      </c>
      <c r="M2" t="str">
        <f>SUBSTITUTE(H2, "/", "-")</f>
        <v>11-2-2001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SUBSTITUTE(H3,"/","-",1)</f>
        <v>10-3/1999</v>
      </c>
      <c r="K3" t="str">
        <f t="shared" ref="K3:K10" si="1">SUBSTITUTE(I3,"/","-",2)</f>
        <v>10/10-2015</v>
      </c>
      <c r="L3" t="str">
        <f t="shared" ref="L3:L10" si="2">SUBSTITUTE(H3,"-","/")</f>
        <v>10/3/1999</v>
      </c>
      <c r="M3" t="str">
        <f t="shared" ref="M3:M10" si="3">SUBSTITUTE(H3, "/", "-")</f>
        <v>10-3-1999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9/8-2017</v>
      </c>
      <c r="L4" t="str">
        <f t="shared" si="2"/>
        <v>7/4/2000</v>
      </c>
      <c r="M4" t="str">
        <f t="shared" si="3"/>
        <v>7-4-2000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12/3-2015</v>
      </c>
      <c r="L5" t="str">
        <f t="shared" si="2"/>
        <v>1/5/2000</v>
      </c>
      <c r="M5" t="str">
        <f t="shared" si="3"/>
        <v>1-5-2000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8/30-2017</v>
      </c>
      <c r="L6" t="str">
        <f t="shared" si="2"/>
        <v>5/6/2001</v>
      </c>
      <c r="M6" t="str">
        <f t="shared" si="3"/>
        <v>5-6-2001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9/11-2013</v>
      </c>
      <c r="L7" t="str">
        <f t="shared" si="2"/>
        <v>5/6/2001</v>
      </c>
      <c r="M7" t="str">
        <f t="shared" si="3"/>
        <v>5-6-2001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9/11-2013</v>
      </c>
      <c r="L8" t="str">
        <f t="shared" si="2"/>
        <v>11/8/2003</v>
      </c>
      <c r="M8" t="str">
        <f t="shared" si="3"/>
        <v>11-8-2003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4/22-2015</v>
      </c>
      <c r="L9" t="str">
        <f t="shared" si="2"/>
        <v>6/9/2002</v>
      </c>
      <c r="M9" t="str">
        <f t="shared" si="3"/>
        <v>6-9-2002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4/22-2015</v>
      </c>
      <c r="L10" t="str">
        <f t="shared" si="2"/>
        <v>8/10/2003</v>
      </c>
      <c r="M10" t="str">
        <f t="shared" si="3"/>
        <v>8-10-2003</v>
      </c>
    </row>
    <row r="12" spans="1:13" x14ac:dyDescent="0.25">
      <c r="H12" s="3"/>
      <c r="I12" s="3"/>
    </row>
    <row r="13" spans="1:13" x14ac:dyDescent="0.25">
      <c r="H13" s="3"/>
      <c r="I13" s="3"/>
    </row>
    <row r="14" spans="1:13" x14ac:dyDescent="0.25">
      <c r="H14" s="3"/>
      <c r="I14" s="3"/>
    </row>
    <row r="15" spans="1:13" x14ac:dyDescent="0.25">
      <c r="H15" s="3"/>
      <c r="I15" s="3"/>
    </row>
    <row r="16" spans="1:13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H15" sqref="H15"/>
    </sheetView>
  </sheetViews>
  <sheetFormatPr defaultColWidth="13" defaultRowHeight="15" x14ac:dyDescent="0.25"/>
  <cols>
    <col min="11" max="11" width="19.85546875" bestFit="1" customWidth="1"/>
    <col min="12" max="12" width="29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93</v>
      </c>
      <c r="K1" t="s">
        <v>92</v>
      </c>
      <c r="L1" t="s">
        <v>91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 D2:D10, 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M2" sqref="M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COUNT(A2:A10)</f>
        <v>9</v>
      </c>
      <c r="K2">
        <f>COUNTIF(F2:F10, "Salesman")</f>
        <v>3</v>
      </c>
      <c r="L2">
        <f>COUNTIFS(G2:G10, "&gt;45000", F2:F10, "Salesman",D2:D10, "&gt;28")</f>
        <v>2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F11" sqref="F11"/>
    </sheetView>
  </sheetViews>
  <sheetFormatPr defaultRowHeight="15" x14ac:dyDescent="0.25"/>
  <cols>
    <col min="2" max="2" width="10.140625" bestFit="1" customWidth="1"/>
    <col min="3" max="3" width="11" bestFit="1" customWidth="1"/>
    <col min="6" max="6" width="17.42578125" bestFit="1" customWidth="1"/>
    <col min="8" max="8" width="14.42578125" customWidth="1"/>
    <col min="9" max="9" width="13.28515625" customWidth="1"/>
    <col min="11" max="11" width="14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6275</v>
      </c>
      <c r="K4">
        <f t="shared" si="1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5811</v>
      </c>
      <c r="K5">
        <f t="shared" si="1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>
        <f t="shared" si="0"/>
        <v>5960</v>
      </c>
      <c r="K6">
        <f t="shared" si="1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4511</v>
      </c>
      <c r="K7">
        <f t="shared" si="1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3595</v>
      </c>
      <c r="K8">
        <f t="shared" si="1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>
        <f t="shared" si="0"/>
        <v>4700</v>
      </c>
      <c r="K9">
        <f t="shared" si="1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Dell</cp:lastModifiedBy>
  <dcterms:created xsi:type="dcterms:W3CDTF">2021-12-16T14:18:34Z</dcterms:created>
  <dcterms:modified xsi:type="dcterms:W3CDTF">2026-02-05T12:39:44Z</dcterms:modified>
</cp:coreProperties>
</file>